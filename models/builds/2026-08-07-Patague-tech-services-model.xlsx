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egend_Key" sheetId="2" state="visible" r:id="rId4"/>
    <sheet name="Inputs" sheetId="3" state="visible" r:id="rId5"/>
    <sheet name="Fwd_Hedge" sheetId="4" state="visible" r:id="rId6"/>
    <sheet name="MM_Hedge" sheetId="5" state="visible" r:id="rId7"/>
    <sheet name="Opt_Hedge" sheetId="6" state="visible" r:id="rId8"/>
    <sheet name="Sensitivity" sheetId="7" state="visible" r:id="rId9"/>
    <sheet name="Notes_Assumptions" sheetId="8" state="visible" r:id="rId10"/>
  </sheets>
  <definedNames>
    <definedName function="false" hidden="false" name="DF_FC" vbProcedure="false">MM_Hedge!$C$6</definedName>
    <definedName function="false" hidden="false" name="DF_USD" vbProcedure="false">MM_Hedge!$C$5</definedName>
    <definedName function="false" hidden="false" name="F0_in" vbProcedure="false">Inputs!$C$8</definedName>
    <definedName function="false" hidden="false" name="FC_AMT" vbProcedure="false">Inputs!$C$6</definedName>
    <definedName function="false" hidden="false" name="FV_PREM_PUT" vbProcedure="false">Opt_Hedge!$C$5</definedName>
    <definedName function="false" hidden="false" name="K_CALL" vbProcedure="false">Inputs!$C$12</definedName>
    <definedName function="false" hidden="false" name="K_PUT" vbProcedure="false">Inputs!$C$11</definedName>
    <definedName function="false" hidden="false" name="MM_BORROW" vbProcedure="false">MM_Hedge!$C$8</definedName>
    <definedName function="false" hidden="false" name="MM_USD_NOW" vbProcedure="false">MM_Hedge!$C$9</definedName>
    <definedName function="false" hidden="false" name="PARITY_GAP" vbProcedure="false">MM_Hedge!$C$15</definedName>
    <definedName function="false" hidden="false" name="PREM_CALL" vbProcedure="false">Inputs!$C$14</definedName>
    <definedName function="false" hidden="false" name="PREM_PUT" vbProcedure="false">Inputs!$C$13</definedName>
    <definedName function="false" hidden="false" name="R_FC" vbProcedure="false">Inputs!$C$10</definedName>
    <definedName function="false" hidden="false" name="R_USD" vbProcedure="false">Inputs!$C$9</definedName>
    <definedName function="false" hidden="false" name="S0_in" vbProcedure="false">Inputs!$C$7</definedName>
    <definedName function="false" hidden="false" name="SENS_TABLE" vbProcedure="false">Sensitivity!$B$11:$K$22</definedName>
    <definedName function="false" hidden="false" name="STEP_FRAC" vbProcedure="false">Sensitivity!$C$4</definedName>
    <definedName function="false" hidden="false" name="S_T_grid" vbProcedure="false">Sensitivity!$C$12:$C$22</definedName>
    <definedName function="false" hidden="false" name="T_DAYS" vbProcedure="false">Inputs!$C$15</definedName>
    <definedName function="false" hidden="false" name="USD_BASE_PUT" vbProcedure="false">Opt_Hedge!$C$9</definedName>
    <definedName function="false" hidden="false" name="USD_FLOOR_PUT" vbProcedure="false">Opt_Hedge!$C$10</definedName>
    <definedName function="false" hidden="false" name="USD_FWD" vbProcedure="false">Fwd_Hedge!$C$5</definedName>
    <definedName function="false" hidden="false" name="USD_MM" vbProcedure="false">MM_Hedge!$C$10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<sst xmlns="http://schemas.openxmlformats.org/spreadsheetml/2006/main" count="148" uniqueCount="130">
  <si>
    <t xml:space="preserve">U.S. Tech Services Firm — FX Transaction Hedge Model</t>
  </si>
  <si>
    <t xml:space="preserve">FIN-321 · FX Hedging Project · Stage 3 build (from Stage 2 spec v0.2)</t>
  </si>
  <si>
    <t xml:space="preserve">Scenario</t>
  </si>
  <si>
    <t xml:space="preserve">#3 — U.S. Tech Services Firm (tech-services)</t>
  </si>
  <si>
    <t xml:space="preserve">Author</t>
  </si>
  <si>
    <t xml:space="preserve">Nicole Patague</t>
  </si>
  <si>
    <t xml:space="preserve">Date</t>
  </si>
  <si>
    <t xml:space="preserve">2026-08-07</t>
  </si>
  <si>
    <t xml:space="preserve">Built from</t>
  </si>
  <si>
    <t xml:space="preserve">docs/specs/2026-08-07-Patague-tech-services-spec.md</t>
  </si>
  <si>
    <t xml:space="preserve">Exposure</t>
  </si>
  <si>
    <t xml:space="preserve">EUR 12,500,000 receivable, 365 days</t>
  </si>
  <si>
    <t xml:space="preserve">Data provenance</t>
  </si>
  <si>
    <t xml:space="preserve">All market inputs are indicative placeholders — replaced with live market data at Stage 4 (see Inputs tab, Stage-4 source column).</t>
  </si>
  <si>
    <t xml:space="preserve">Summary (SUMMARY_TBL)</t>
  </si>
  <si>
    <t xml:space="preserve">Strategy</t>
  </si>
  <si>
    <t xml:space="preserve">USD proceeds (baseline S_T = S0_in)</t>
  </si>
  <si>
    <t xml:space="preserve">Notes</t>
  </si>
  <si>
    <t xml:space="preserve">No hedge</t>
  </si>
  <si>
    <t xml:space="preserve">Uncertain — varies with S_T</t>
  </si>
  <si>
    <t xml:space="preserve">Forward</t>
  </si>
  <si>
    <t xml:space="preserve">Locked at F0_in</t>
  </si>
  <si>
    <t xml:space="preserve">Money market</t>
  </si>
  <si>
    <t xml:space="preserve">Locked via borrow-convert-invest</t>
  </si>
  <si>
    <t xml:space="preserve">Option (put)</t>
  </si>
  <si>
    <t xml:space="preserve">Floor = USD_FLOOR_PUT</t>
  </si>
  <si>
    <t xml:space="preserve">Put floor (worst case on grid):</t>
  </si>
  <si>
    <t xml:space="preserve">Legend / Key</t>
  </si>
  <si>
    <t xml:space="preserve">Cell color convention</t>
  </si>
  <si>
    <t xml:space="preserve">Input (yellow fill)</t>
  </si>
  <si>
    <t xml:space="preserve">Market/scenario inputs — the only cells an analyst edits</t>
  </si>
  <si>
    <t xml:space="preserve">Assumption (blue text)</t>
  </si>
  <si>
    <t xml:space="preserve">Analyst-set constants and expected check values</t>
  </si>
  <si>
    <t xml:space="preserve">Formula (green text)</t>
  </si>
  <si>
    <t xml:space="preserve">Calculated — never overwrite</t>
  </si>
  <si>
    <t xml:space="preserve">Output (gray fill)</t>
  </si>
  <si>
    <t xml:space="preserve">Named summary results read by grading script / Stage 4 prompt</t>
  </si>
  <si>
    <t xml:space="preserve">Named-range glossary (the ten-name contract)</t>
  </si>
  <si>
    <t xml:space="preserve">FC_AMT</t>
  </si>
  <si>
    <t xml:space="preserve">Foreign-currency receivable (EUR)</t>
  </si>
  <si>
    <t xml:space="preserve">S0_in</t>
  </si>
  <si>
    <t xml:space="preserve">Spot rate at inception (USD per EUR)</t>
  </si>
  <si>
    <t xml:space="preserve">F0_in</t>
  </si>
  <si>
    <t xml:space="preserve">Forward rate, 1-yr (USD per EUR)</t>
  </si>
  <si>
    <t xml:space="preserve">R_USD</t>
  </si>
  <si>
    <t xml:space="preserve">USD interest rate (annual, ACT/360)</t>
  </si>
  <si>
    <t xml:space="preserve">R_FC</t>
  </si>
  <si>
    <t xml:space="preserve">EUR interest rate (annual, ACT/360)</t>
  </si>
  <si>
    <t xml:space="preserve">K_PUT</t>
  </si>
  <si>
    <t xml:space="preserve">Put strike (USD per EUR)</t>
  </si>
  <si>
    <t xml:space="preserve">K_CALL</t>
  </si>
  <si>
    <t xml:space="preserve">Call strike (USD per EUR)</t>
  </si>
  <si>
    <t xml:space="preserve">PREM_PUT</t>
  </si>
  <si>
    <t xml:space="preserve">Put premium per 1 EUR (USD)</t>
  </si>
  <si>
    <t xml:space="preserve">PREM_CALL</t>
  </si>
  <si>
    <t xml:space="preserve">Call premium per 1 EUR (USD)</t>
  </si>
  <si>
    <t xml:space="preserve">T_DAYS</t>
  </si>
  <si>
    <t xml:space="preserve">Days to settlement</t>
  </si>
  <si>
    <t xml:space="preserve">Inputs — named-range contract</t>
  </si>
  <si>
    <t xml:space="preserve">All values indicative — replaced with live market data at Stage 4.</t>
  </si>
  <si>
    <t xml:space="preserve">Named range</t>
  </si>
  <si>
    <t xml:space="preserve">Value</t>
  </si>
  <si>
    <t xml:space="preserve">Unit</t>
  </si>
  <si>
    <t xml:space="preserve">Stage-4 source</t>
  </si>
  <si>
    <t xml:space="preserve">EUR</t>
  </si>
  <si>
    <t xml:space="preserve">Contract terms (fixed)</t>
  </si>
  <si>
    <t xml:space="preserve">USD per EUR</t>
  </si>
  <si>
    <t xml:space="preserve">ECB reference rate / Yahoo Finance EURUSD</t>
  </si>
  <si>
    <t xml:space="preserve">Spot + CME/Bloomberg 12-mo forward points</t>
  </si>
  <si>
    <t xml:space="preserve">Annual %, ACT/360</t>
  </si>
  <si>
    <t xml:space="preserve">Fed H.15, 1-yr Treasury constant maturity</t>
  </si>
  <si>
    <t xml:space="preserve">12-mo Euribor (EMMI)</t>
  </si>
  <si>
    <t xml:space="preserve">USD per 1 EUR</t>
  </si>
  <si>
    <t xml:space="preserve">CME EUR/USD option quotes</t>
  </si>
  <si>
    <t xml:space="preserve">Days</t>
  </si>
  <si>
    <t xml:space="preserve">Settlement date − inception date</t>
  </si>
  <si>
    <t xml:space="preserve">Forward hedge (§5.2)</t>
  </si>
  <si>
    <t xml:space="preserve">USD proceeds locked at inception:</t>
  </si>
  <si>
    <t xml:space="preserve">USD_FWD = FC_AMT × F0_in</t>
  </si>
  <si>
    <t xml:space="preserve">Invariant across the S_T grid — the certainty benchmark.</t>
  </si>
  <si>
    <t xml:space="preserve">Money-market hedge (§5.3) — three explicit steps</t>
  </si>
  <si>
    <t xml:space="preserve">Derived growth factors (§5.1)</t>
  </si>
  <si>
    <t xml:space="preserve">DF_USD = 1 + R_USD × T_DAYS/360</t>
  </si>
  <si>
    <t xml:space="preserve">DF_FC = 1 + R_FC × T_DAYS/360</t>
  </si>
  <si>
    <t xml:space="preserve">Step 1 — Borrow EUR today (sized so the receivable repays the loan exactly):</t>
  </si>
  <si>
    <t xml:space="preserve">Step 2 — Convert to USD at spot:</t>
  </si>
  <si>
    <t xml:space="preserve">Step 3 — Invest USD to settlement:</t>
  </si>
  <si>
    <t xml:space="preserve">Parity check (§7 V1–V2)</t>
  </si>
  <si>
    <t xml:space="preserve">F_implied = S0_in × DF_USD / DF_FC</t>
  </si>
  <si>
    <t xml:space="preserve">Gap vs F0_in (must be &lt; 0.0025)</t>
  </si>
  <si>
    <t xml:space="preserve">USD_MM − USD_FWD ($, %)</t>
  </si>
  <si>
    <t xml:space="preserve">Parity verdict</t>
  </si>
  <si>
    <t xml:space="preserve">Option hedge — put floor (§5.4)</t>
  </si>
  <si>
    <t xml:space="preserve">FV of put premium at settlement:</t>
  </si>
  <si>
    <t xml:space="preserve">FV_PREM_PUT = PREM_PUT × FC_AMT × DF_USD</t>
  </si>
  <si>
    <t xml:space="preserve">Payoff at settlement spot S_T:  USD_PUT(S_T) = MAX(S_T, K_PUT) × FC_AMT − FV_PREM_PUT</t>
  </si>
  <si>
    <t xml:space="preserve">Baseline (S_T = S0_in):</t>
  </si>
  <si>
    <t xml:space="preserve">Floor (worst case across grid):</t>
  </si>
  <si>
    <t xml:space="preserve">Kink check (§7 V6): put at S_T = K_PUT equals K_PUT × FC_AMT − FV_PREM_PUT</t>
  </si>
  <si>
    <t xml:space="preserve">Full payoff across the grid: Sensitivity tab, column G.</t>
  </si>
  <si>
    <t xml:space="preserve">Sensitivity — S_T grid ±5% in 1% steps (§6)</t>
  </si>
  <si>
    <t xml:space="preserve">Step size (STEP_FRAC):</t>
  </si>
  <si>
    <t xml:space="preserve">n</t>
  </si>
  <si>
    <t xml:space="preserve">S_T</t>
  </si>
  <si>
    <t xml:space="preserve">Money mkt</t>
  </si>
  <si>
    <t xml:space="preserve">Put</t>
  </si>
  <si>
    <t xml:space="preserve">P&amp;L fwd</t>
  </si>
  <si>
    <t xml:space="preserve">P&amp;L MM</t>
  </si>
  <si>
    <t xml:space="preserve">P&amp;L put</t>
  </si>
  <si>
    <t xml:space="preserve">Winner</t>
  </si>
  <si>
    <t xml:space="preserve">&lt;-- baseline (S_T = S0_in)</t>
  </si>
  <si>
    <t xml:space="preserve">Notes &amp; Assumptions</t>
  </si>
  <si>
    <t xml:space="preserve">• Quote convention: USD per EUR; higher = EUR appreciation.</t>
  </si>
  <si>
    <t xml:space="preserve">• Day-count: simple interest, ACT/360 both legs (deliberate single-convention simplification).</t>
  </si>
  <si>
    <t xml:space="preserve">• Premium paid upfront in USD per 1 EUR, no multiplier; carried forward at R_USD.</t>
  </si>
  <si>
    <t xml:space="preserve">• Transaction costs, bid-ask, credit/counterparty risk, tax: excluded (pre-tax cash outcomes).</t>
  </si>
  <si>
    <t xml:space="preserve">• S_T varied deterministically; no probability weights.</t>
  </si>
  <si>
    <t xml:space="preserve">• All market inputs indicative placeholders until Stage 4 (sources &amp; access dates to be recorded here).</t>
  </si>
  <si>
    <t xml:space="preserve">Validation checks (spec §7)</t>
  </si>
  <si>
    <t xml:space="preserve">Check</t>
  </si>
  <si>
    <t xml:space="preserve">Computed</t>
  </si>
  <si>
    <t xml:space="preserve">Expected</t>
  </si>
  <si>
    <t xml:space="preserve">Verdict</t>
  </si>
  <si>
    <t xml:space="preserve">V1 Parity: F_implied within 0.0025 of F0_in</t>
  </si>
  <si>
    <t xml:space="preserve">V2 USD_MM ties to USD_FWD within 0.05%</t>
  </si>
  <si>
    <t xml:space="preserve">V3 Forward proceeds</t>
  </si>
  <si>
    <t xml:space="preserve">V5 Premium carry FV_PREM_PUT</t>
  </si>
  <si>
    <t xml:space="preserve">V6 Kink: put at S_T=K_PUT = K_PUT×FC_AMT−FV_PREM_PUT</t>
  </si>
  <si>
    <t xml:space="preserve">V7 Baseline no-hedge at S_T=S0_in</t>
  </si>
  <si>
    <t xml:space="preserve">V8 Grid symmetric &amp; 11 rows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</si>
</sst>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"/>
    <numFmt numFmtId="166" formatCode="#,##0"/>
    <numFmt numFmtId="167" formatCode="0.0000"/>
    <numFmt numFmtId="168" formatCode="0.00%"/>
    <numFmt numFmtId="169" formatCode="0.000"/>
    <numFmt numFmtId="170" formatCode="0"/>
    <numFmt numFmtId="171" formatCode="\$#,##0.00"/>
    <numFmt numFmtId="172" formatCode="0.000000"/>
    <numFmt numFmtId="173" formatCode="0.00000"/>
    <numFmt numFmtId="174" formatCode="0.0000%"/>
    <numFmt numFmtId="175" formatCode="0.0%"/>
    <numFmt numFmtId="176" formatCode="\$#,##0;&quot;($&quot;#,##0\)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4731"/>
      <name val="Open Sans"/>
      <family val="0"/>
      <charset val="1"/>
    </font>
    <font>
      <sz val="11"/>
      <color rgb="FF525252"/>
      <name val="Open Sans"/>
      <family val="0"/>
      <charset val="1"/>
    </font>
    <font>
      <b val="true"/>
      <sz val="11"/>
      <name val="Open Sans"/>
      <family val="0"/>
      <charset val="1"/>
    </font>
    <font>
      <sz val="11"/>
      <name val="Open Sans"/>
      <family val="0"/>
      <charset val="1"/>
    </font>
    <font>
      <b val="true"/>
      <sz val="12"/>
      <color rgb="FF024731"/>
      <name val="Open Sans"/>
      <family val="0"/>
      <charset val="1"/>
    </font>
    <font>
      <i val="true"/>
      <sz val="11"/>
      <name val="Open Sans"/>
      <family val="0"/>
      <charset val="1"/>
    </font>
    <font>
      <b val="true"/>
      <sz val="11"/>
      <color rgb="FFFFFFFF"/>
      <name val="Open Sans"/>
      <family val="0"/>
      <charset val="1"/>
    </font>
    <font>
      <sz val="11"/>
      <color rgb="FF008000"/>
      <name val="Open Sans"/>
      <family val="0"/>
      <charset val="1"/>
    </font>
    <font>
      <sz val="11"/>
      <color rgb="FF0000FF"/>
      <name val="Open Sans"/>
      <family val="0"/>
      <charset val="1"/>
    </font>
    <font>
      <sz val="11"/>
      <name val="Consolas"/>
      <family val="0"/>
      <charset val="1"/>
    </font>
    <font>
      <i val="true"/>
      <sz val="11"/>
      <color rgb="FF525252"/>
      <name val="Open Sans"/>
      <family val="0"/>
      <charset val="1"/>
    </font>
    <font>
      <b val="true"/>
      <sz val="11"/>
      <color rgb="FF024731"/>
      <name val="Open San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24731"/>
        <bgColor rgb="FF003366"/>
      </patternFill>
    </fill>
    <fill>
      <patternFill patternType="solid">
        <fgColor rgb="FFD9D9D9"/>
        <bgColor rgb="FFCC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24731"/>
      <rgbColor rgb="FF333300"/>
      <rgbColor rgb="FF993300"/>
      <rgbColor rgb="FF993366"/>
      <rgbColor rgb="FF333399"/>
      <rgbColor rgb="FF5252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USD proceeds at settlement vs S_T — four strategies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Sensitivity!D11</c:f>
              <c:strCache>
                <c:ptCount val="1"/>
                <c:pt idx="0">
                  <c:v>No hedge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Sensitivity!$C$12:$C$22</c:f>
              <c:strCache>
                <c:ptCount val="11"/>
                <c:pt idx="0">
                  <c:v>1.0165</c:v>
                </c:pt>
                <c:pt idx="1">
                  <c:v>1.0272</c:v>
                </c:pt>
                <c:pt idx="2">
                  <c:v>1.0379</c:v>
                </c:pt>
                <c:pt idx="3">
                  <c:v>1.0486</c:v>
                </c:pt>
                <c:pt idx="4">
                  <c:v>1.0593</c:v>
                </c:pt>
                <c:pt idx="5">
                  <c:v>1.0700</c:v>
                </c:pt>
                <c:pt idx="6">
                  <c:v>1.0807</c:v>
                </c:pt>
                <c:pt idx="7">
                  <c:v>1.0914</c:v>
                </c:pt>
                <c:pt idx="8">
                  <c:v>1.1021</c:v>
                </c:pt>
                <c:pt idx="9">
                  <c:v>1.1128</c:v>
                </c:pt>
                <c:pt idx="10">
                  <c:v>1.1235</c:v>
                </c:pt>
              </c:strCache>
            </c:strRef>
          </c:cat>
          <c:val>
            <c:numRef>
              <c:f>Sensitivity!$D$12:$D$22</c:f>
              <c:numCache>
                <c:formatCode>\$#,##0</c:formatCode>
                <c:ptCount val="11"/>
                <c:pt idx="0">
                  <c:v>12706250</c:v>
                </c:pt>
                <c:pt idx="1">
                  <c:v>12840000</c:v>
                </c:pt>
                <c:pt idx="2">
                  <c:v>12973750</c:v>
                </c:pt>
                <c:pt idx="3">
                  <c:v>13107500</c:v>
                </c:pt>
                <c:pt idx="4">
                  <c:v>13241250</c:v>
                </c:pt>
                <c:pt idx="5">
                  <c:v>13375000</c:v>
                </c:pt>
                <c:pt idx="6">
                  <c:v>13508750</c:v>
                </c:pt>
                <c:pt idx="7">
                  <c:v>13642500</c:v>
                </c:pt>
                <c:pt idx="8">
                  <c:v>13776250</c:v>
                </c:pt>
                <c:pt idx="9">
                  <c:v>13910000</c:v>
                </c:pt>
                <c:pt idx="10">
                  <c:v>14043750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Sensitivity!E11</c:f>
              <c:strCache>
                <c:ptCount val="1"/>
                <c:pt idx="0">
                  <c:v>Forward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Sensitivity!$C$12:$C$22</c:f>
              <c:strCache>
                <c:ptCount val="11"/>
                <c:pt idx="0">
                  <c:v>1.0165</c:v>
                </c:pt>
                <c:pt idx="1">
                  <c:v>1.0272</c:v>
                </c:pt>
                <c:pt idx="2">
                  <c:v>1.0379</c:v>
                </c:pt>
                <c:pt idx="3">
                  <c:v>1.0486</c:v>
                </c:pt>
                <c:pt idx="4">
                  <c:v>1.0593</c:v>
                </c:pt>
                <c:pt idx="5">
                  <c:v>1.0700</c:v>
                </c:pt>
                <c:pt idx="6">
                  <c:v>1.0807</c:v>
                </c:pt>
                <c:pt idx="7">
                  <c:v>1.0914</c:v>
                </c:pt>
                <c:pt idx="8">
                  <c:v>1.1021</c:v>
                </c:pt>
                <c:pt idx="9">
                  <c:v>1.1128</c:v>
                </c:pt>
                <c:pt idx="10">
                  <c:v>1.1235</c:v>
                </c:pt>
              </c:strCache>
            </c:strRef>
          </c:cat>
          <c:val>
            <c:numRef>
              <c:f>Sensitivity!$E$12:$E$22</c:f>
              <c:numCache>
                <c:formatCode>\$#,##0</c:formatCode>
                <c:ptCount val="11"/>
                <c:pt idx="0">
                  <c:v>13637500</c:v>
                </c:pt>
                <c:pt idx="1">
                  <c:v>13637500</c:v>
                </c:pt>
                <c:pt idx="2">
                  <c:v>13637500</c:v>
                </c:pt>
                <c:pt idx="3">
                  <c:v>13637500</c:v>
                </c:pt>
                <c:pt idx="4">
                  <c:v>13637500</c:v>
                </c:pt>
                <c:pt idx="5">
                  <c:v>13637500</c:v>
                </c:pt>
                <c:pt idx="6">
                  <c:v>13637500</c:v>
                </c:pt>
                <c:pt idx="7">
                  <c:v>13637500</c:v>
                </c:pt>
                <c:pt idx="8">
                  <c:v>13637500</c:v>
                </c:pt>
                <c:pt idx="9">
                  <c:v>13637500</c:v>
                </c:pt>
                <c:pt idx="10">
                  <c:v>13637500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Sensitivity!F11</c:f>
              <c:strCache>
                <c:ptCount val="1"/>
                <c:pt idx="0">
                  <c:v>Money mkt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Sensitivity!$C$12:$C$22</c:f>
              <c:strCache>
                <c:ptCount val="11"/>
                <c:pt idx="0">
                  <c:v>1.0165</c:v>
                </c:pt>
                <c:pt idx="1">
                  <c:v>1.0272</c:v>
                </c:pt>
                <c:pt idx="2">
                  <c:v>1.0379</c:v>
                </c:pt>
                <c:pt idx="3">
                  <c:v>1.0486</c:v>
                </c:pt>
                <c:pt idx="4">
                  <c:v>1.0593</c:v>
                </c:pt>
                <c:pt idx="5">
                  <c:v>1.0700</c:v>
                </c:pt>
                <c:pt idx="6">
                  <c:v>1.0807</c:v>
                </c:pt>
                <c:pt idx="7">
                  <c:v>1.0914</c:v>
                </c:pt>
                <c:pt idx="8">
                  <c:v>1.1021</c:v>
                </c:pt>
                <c:pt idx="9">
                  <c:v>1.1128</c:v>
                </c:pt>
                <c:pt idx="10">
                  <c:v>1.1235</c:v>
                </c:pt>
              </c:strCache>
            </c:strRef>
          </c:cat>
          <c:val>
            <c:numRef>
              <c:f>Sensitivity!$F$12:$F$22</c:f>
              <c:numCache>
                <c:formatCode>\$#,##0</c:formatCode>
                <c:ptCount val="11"/>
                <c:pt idx="0">
                  <c:v>13640824.9387422</c:v>
                </c:pt>
                <c:pt idx="1">
                  <c:v>13640824.9387422</c:v>
                </c:pt>
                <c:pt idx="2">
                  <c:v>13640824.9387422</c:v>
                </c:pt>
                <c:pt idx="3">
                  <c:v>13640824.9387422</c:v>
                </c:pt>
                <c:pt idx="4">
                  <c:v>13640824.9387422</c:v>
                </c:pt>
                <c:pt idx="5">
                  <c:v>13640824.9387422</c:v>
                </c:pt>
                <c:pt idx="6">
                  <c:v>13640824.9387422</c:v>
                </c:pt>
                <c:pt idx="7">
                  <c:v>13640824.9387422</c:v>
                </c:pt>
                <c:pt idx="8">
                  <c:v>13640824.9387422</c:v>
                </c:pt>
                <c:pt idx="9">
                  <c:v>13640824.9387422</c:v>
                </c:pt>
                <c:pt idx="10">
                  <c:v>13640824.9387422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Sensitivity!G11</c:f>
              <c:strCache>
                <c:ptCount val="1"/>
                <c:pt idx="0">
                  <c:v>Put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Sensitivity!$C$12:$C$22</c:f>
              <c:strCache>
                <c:ptCount val="11"/>
                <c:pt idx="0">
                  <c:v>1.0165</c:v>
                </c:pt>
                <c:pt idx="1">
                  <c:v>1.0272</c:v>
                </c:pt>
                <c:pt idx="2">
                  <c:v>1.0379</c:v>
                </c:pt>
                <c:pt idx="3">
                  <c:v>1.0486</c:v>
                </c:pt>
                <c:pt idx="4">
                  <c:v>1.0593</c:v>
                </c:pt>
                <c:pt idx="5">
                  <c:v>1.0700</c:v>
                </c:pt>
                <c:pt idx="6">
                  <c:v>1.0807</c:v>
                </c:pt>
                <c:pt idx="7">
                  <c:v>1.0914</c:v>
                </c:pt>
                <c:pt idx="8">
                  <c:v>1.1021</c:v>
                </c:pt>
                <c:pt idx="9">
                  <c:v>1.1128</c:v>
                </c:pt>
                <c:pt idx="10">
                  <c:v>1.1235</c:v>
                </c:pt>
              </c:strCache>
            </c:strRef>
          </c:cat>
          <c:val>
            <c:numRef>
              <c:f>Sensitivity!$G$12:$G$22</c:f>
              <c:numCache>
                <c:formatCode>\$#,##0</c:formatCode>
                <c:ptCount val="11"/>
                <c:pt idx="0">
                  <c:v>13153881.9444444</c:v>
                </c:pt>
                <c:pt idx="1">
                  <c:v>13153881.9444444</c:v>
                </c:pt>
                <c:pt idx="2">
                  <c:v>13153881.9444444</c:v>
                </c:pt>
                <c:pt idx="3">
                  <c:v>13153881.9444444</c:v>
                </c:pt>
                <c:pt idx="4">
                  <c:v>13153881.9444444</c:v>
                </c:pt>
                <c:pt idx="5">
                  <c:v>13153881.9444444</c:v>
                </c:pt>
                <c:pt idx="6">
                  <c:v>13287631.9444444</c:v>
                </c:pt>
                <c:pt idx="7">
                  <c:v>13421381.9444444</c:v>
                </c:pt>
                <c:pt idx="8">
                  <c:v>13555131.9444444</c:v>
                </c:pt>
                <c:pt idx="9">
                  <c:v>13688881.9444444</c:v>
                </c:pt>
                <c:pt idx="10">
                  <c:v>13822631.9444444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902982"/>
        <c:axId val="6897546"/>
      </c:lineChart>
      <c:catAx>
        <c:axId val="739029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S_T (USD per 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97546"/>
        <c:crosses val="autoZero"/>
        <c:auto val="1"/>
        <c:lblAlgn val="ctr"/>
        <c:lblOffset val="100"/>
        <c:noMultiLvlLbl val="0"/>
      </c:catAx>
      <c:valAx>
        <c:axId val="6897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9029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9</xdr:col>
      <xdr:colOff>448200</xdr:colOff>
      <xdr:row>42</xdr:row>
      <xdr:rowOff>170640</xdr:rowOff>
    </xdr:to>
    <xdr:graphicFrame>
      <xdr:nvGraphicFramePr>
        <xdr:cNvPr id="1" name="Chart 1"/>
        <xdr:cNvGraphicFramePr/>
      </xdr:nvGraphicFramePr>
      <xdr:xfrm>
        <a:off x="211320" y="46018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2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1" customFormat="false" ht="15" hidden="false" customHeight="false" outlineLevel="0" collapsed="false">
      <c r="B11" s="5" t="s">
        <v>12</v>
      </c>
    </row>
    <row r="12" customFormat="false" ht="15" hidden="false" customHeight="true" outlineLevel="0" collapsed="false">
      <c r="B12" s="6" t="s">
        <v>13</v>
      </c>
      <c r="C12" s="6"/>
      <c r="D12" s="6"/>
    </row>
    <row r="13" customFormat="false" ht="15" hidden="false" customHeight="false" outlineLevel="0" collapsed="false">
      <c r="B13" s="6"/>
      <c r="C13" s="6"/>
      <c r="D13" s="6"/>
    </row>
    <row r="15" customFormat="false" ht="15" hidden="false" customHeight="false" outlineLevel="0" collapsed="false">
      <c r="B15" s="5" t="s">
        <v>14</v>
      </c>
    </row>
    <row r="16" customFormat="false" ht="15" hidden="false" customHeight="false" outlineLevel="0" collapsed="false">
      <c r="B16" s="7" t="s">
        <v>15</v>
      </c>
      <c r="C16" s="7" t="s">
        <v>16</v>
      </c>
      <c r="D16" s="7" t="s">
        <v>17</v>
      </c>
    </row>
    <row r="17" customFormat="false" ht="15" hidden="false" customHeight="false" outlineLevel="0" collapsed="false">
      <c r="B17" s="8" t="s">
        <v>18</v>
      </c>
      <c r="C17" s="9" t="n">
        <f aca="false">S0_in*FC_AMT</f>
        <v>13375000</v>
      </c>
      <c r="D17" s="10" t="s">
        <v>19</v>
      </c>
    </row>
    <row r="18" customFormat="false" ht="15" hidden="false" customHeight="false" outlineLevel="0" collapsed="false">
      <c r="B18" s="8" t="s">
        <v>20</v>
      </c>
      <c r="C18" s="9" t="n">
        <f aca="false">USD_FWD</f>
        <v>13637500</v>
      </c>
      <c r="D18" s="10" t="s">
        <v>21</v>
      </c>
    </row>
    <row r="19" customFormat="false" ht="15" hidden="false" customHeight="false" outlineLevel="0" collapsed="false">
      <c r="B19" s="8" t="s">
        <v>22</v>
      </c>
      <c r="C19" s="9" t="n">
        <f aca="false">USD_MM</f>
        <v>13640824.9387422</v>
      </c>
      <c r="D19" s="10" t="s">
        <v>23</v>
      </c>
    </row>
    <row r="20" customFormat="false" ht="15" hidden="false" customHeight="false" outlineLevel="0" collapsed="false">
      <c r="B20" s="8" t="s">
        <v>24</v>
      </c>
      <c r="C20" s="9" t="n">
        <f aca="false">USD_BASE_PUT</f>
        <v>13153881.9444444</v>
      </c>
      <c r="D20" s="10" t="s">
        <v>25</v>
      </c>
    </row>
    <row r="22" customFormat="false" ht="15" hidden="false" customHeight="false" outlineLevel="0" collapsed="false">
      <c r="B22" s="3" t="s">
        <v>26</v>
      </c>
      <c r="C22" s="11" t="n">
        <f aca="false">USD_FLOOR_PUT</f>
        <v>13153881.9444444</v>
      </c>
    </row>
  </sheetData>
  <mergeCells count="1">
    <mergeCell ref="B12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</cols>
  <sheetData>
    <row r="2" customFormat="false" ht="17.35" hidden="false" customHeight="false" outlineLevel="0" collapsed="false">
      <c r="B2" s="1" t="s">
        <v>27</v>
      </c>
    </row>
    <row r="4" customFormat="false" ht="15" hidden="false" customHeight="false" outlineLevel="0" collapsed="false">
      <c r="B4" s="5" t="s">
        <v>28</v>
      </c>
    </row>
    <row r="5" customFormat="false" ht="15" hidden="false" customHeight="false" outlineLevel="0" collapsed="false">
      <c r="B5" s="12" t="s">
        <v>29</v>
      </c>
      <c r="C5" s="4" t="s">
        <v>30</v>
      </c>
    </row>
    <row r="6" customFormat="false" ht="15" hidden="false" customHeight="false" outlineLevel="0" collapsed="false">
      <c r="B6" s="13" t="s">
        <v>31</v>
      </c>
      <c r="C6" s="4" t="s">
        <v>32</v>
      </c>
    </row>
    <row r="7" customFormat="false" ht="15" hidden="false" customHeight="false" outlineLevel="0" collapsed="false">
      <c r="B7" s="14" t="s">
        <v>33</v>
      </c>
      <c r="C7" s="4" t="s">
        <v>34</v>
      </c>
    </row>
    <row r="8" customFormat="false" ht="15" hidden="false" customHeight="false" outlineLevel="0" collapsed="false">
      <c r="B8" s="15" t="s">
        <v>35</v>
      </c>
      <c r="C8" s="4" t="s">
        <v>36</v>
      </c>
    </row>
    <row r="10" customFormat="false" ht="15" hidden="false" customHeight="false" outlineLevel="0" collapsed="false">
      <c r="B10" s="5" t="s">
        <v>37</v>
      </c>
    </row>
    <row r="11" customFormat="false" ht="15" hidden="false" customHeight="false" outlineLevel="0" collapsed="false">
      <c r="B11" s="16" t="s">
        <v>38</v>
      </c>
      <c r="C11" s="4" t="s">
        <v>39</v>
      </c>
    </row>
    <row r="12" customFormat="false" ht="15" hidden="false" customHeight="false" outlineLevel="0" collapsed="false">
      <c r="B12" s="16" t="s">
        <v>40</v>
      </c>
      <c r="C12" s="4" t="s">
        <v>41</v>
      </c>
    </row>
    <row r="13" customFormat="false" ht="15" hidden="false" customHeight="false" outlineLevel="0" collapsed="false">
      <c r="B13" s="16" t="s">
        <v>42</v>
      </c>
      <c r="C13" s="4" t="s">
        <v>43</v>
      </c>
    </row>
    <row r="14" customFormat="false" ht="15" hidden="false" customHeight="false" outlineLevel="0" collapsed="false">
      <c r="B14" s="16" t="s">
        <v>44</v>
      </c>
      <c r="C14" s="4" t="s">
        <v>45</v>
      </c>
    </row>
    <row r="15" customFormat="false" ht="15" hidden="false" customHeight="false" outlineLevel="0" collapsed="false">
      <c r="B15" s="16" t="s">
        <v>46</v>
      </c>
      <c r="C15" s="4" t="s">
        <v>47</v>
      </c>
    </row>
    <row r="16" customFormat="false" ht="15" hidden="false" customHeight="false" outlineLevel="0" collapsed="false">
      <c r="B16" s="16" t="s">
        <v>48</v>
      </c>
      <c r="C16" s="4" t="s">
        <v>49</v>
      </c>
    </row>
    <row r="17" customFormat="false" ht="15" hidden="false" customHeight="false" outlineLevel="0" collapsed="false">
      <c r="B17" s="16" t="s">
        <v>50</v>
      </c>
      <c r="C17" s="4" t="s">
        <v>51</v>
      </c>
    </row>
    <row r="18" customFormat="false" ht="15" hidden="false" customHeight="false" outlineLevel="0" collapsed="false">
      <c r="B18" s="16" t="s">
        <v>52</v>
      </c>
      <c r="C18" s="4" t="s">
        <v>53</v>
      </c>
    </row>
    <row r="19" customFormat="false" ht="15" hidden="false" customHeight="false" outlineLevel="0" collapsed="false">
      <c r="B19" s="16" t="s">
        <v>54</v>
      </c>
      <c r="C19" s="4" t="s">
        <v>55</v>
      </c>
    </row>
    <row r="20" customFormat="false" ht="15" hidden="false" customHeight="false" outlineLevel="0" collapsed="false">
      <c r="B20" s="16" t="s">
        <v>56</v>
      </c>
      <c r="C20" s="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44"/>
  </cols>
  <sheetData>
    <row r="2" customFormat="false" ht="17.35" hidden="false" customHeight="false" outlineLevel="0" collapsed="false">
      <c r="B2" s="1" t="s">
        <v>58</v>
      </c>
    </row>
    <row r="3" customFormat="false" ht="15" hidden="false" customHeight="false" outlineLevel="0" collapsed="false">
      <c r="B3" s="17" t="s">
        <v>59</v>
      </c>
    </row>
    <row r="5" customFormat="false" ht="15" hidden="false" customHeight="false" outlineLevel="0" collapsed="false">
      <c r="B5" s="7" t="s">
        <v>60</v>
      </c>
      <c r="C5" s="7" t="s">
        <v>61</v>
      </c>
      <c r="D5" s="7" t="s">
        <v>62</v>
      </c>
      <c r="E5" s="7" t="s">
        <v>63</v>
      </c>
    </row>
    <row r="6" customFormat="false" ht="15" hidden="false" customHeight="false" outlineLevel="0" collapsed="false">
      <c r="B6" s="18" t="s">
        <v>38</v>
      </c>
      <c r="C6" s="19" t="n">
        <v>12500000</v>
      </c>
      <c r="D6" s="8" t="s">
        <v>64</v>
      </c>
      <c r="E6" s="10" t="s">
        <v>65</v>
      </c>
    </row>
    <row r="7" customFormat="false" ht="15" hidden="false" customHeight="false" outlineLevel="0" collapsed="false">
      <c r="B7" s="18" t="s">
        <v>40</v>
      </c>
      <c r="C7" s="20" t="n">
        <v>1.07</v>
      </c>
      <c r="D7" s="8" t="s">
        <v>66</v>
      </c>
      <c r="E7" s="10" t="s">
        <v>67</v>
      </c>
    </row>
    <row r="8" customFormat="false" ht="15" hidden="false" customHeight="false" outlineLevel="0" collapsed="false">
      <c r="B8" s="18" t="s">
        <v>42</v>
      </c>
      <c r="C8" s="20" t="n">
        <v>1.091</v>
      </c>
      <c r="D8" s="8" t="s">
        <v>66</v>
      </c>
      <c r="E8" s="10" t="s">
        <v>68</v>
      </c>
    </row>
    <row r="9" customFormat="false" ht="15" hidden="false" customHeight="false" outlineLevel="0" collapsed="false">
      <c r="B9" s="18" t="s">
        <v>44</v>
      </c>
      <c r="C9" s="21" t="n">
        <v>0.04</v>
      </c>
      <c r="D9" s="8" t="s">
        <v>69</v>
      </c>
      <c r="E9" s="10" t="s">
        <v>70</v>
      </c>
    </row>
    <row r="10" customFormat="false" ht="15" hidden="false" customHeight="false" outlineLevel="0" collapsed="false">
      <c r="B10" s="18" t="s">
        <v>46</v>
      </c>
      <c r="C10" s="21" t="n">
        <v>0.02</v>
      </c>
      <c r="D10" s="8" t="s">
        <v>69</v>
      </c>
      <c r="E10" s="10" t="s">
        <v>71</v>
      </c>
    </row>
    <row r="11" customFormat="false" ht="15" hidden="false" customHeight="false" outlineLevel="0" collapsed="false">
      <c r="B11" s="18" t="s">
        <v>48</v>
      </c>
      <c r="C11" s="20" t="n">
        <v>1.07</v>
      </c>
      <c r="D11" s="8" t="s">
        <v>66</v>
      </c>
      <c r="E11" s="10" t="e">
        <f aca="false">stage-4 S0_in, nearest listed cme strike</f>
        <v>#VALUE!</v>
      </c>
    </row>
    <row r="12" customFormat="false" ht="15" hidden="false" customHeight="false" outlineLevel="0" collapsed="false">
      <c r="B12" s="18" t="s">
        <v>50</v>
      </c>
      <c r="C12" s="20" t="n">
        <v>1.07</v>
      </c>
      <c r="D12" s="8" t="s">
        <v>66</v>
      </c>
      <c r="E12" s="10" t="e">
        <f aca="false">stage-4 S0_in, nearest listed cme strike</f>
        <v>#VALUE!</v>
      </c>
    </row>
    <row r="13" customFormat="false" ht="15" hidden="false" customHeight="false" outlineLevel="0" collapsed="false">
      <c r="B13" s="18" t="s">
        <v>52</v>
      </c>
      <c r="C13" s="22" t="n">
        <v>0.017</v>
      </c>
      <c r="D13" s="8" t="s">
        <v>72</v>
      </c>
      <c r="E13" s="10" t="s">
        <v>73</v>
      </c>
    </row>
    <row r="14" customFormat="false" ht="15" hidden="false" customHeight="false" outlineLevel="0" collapsed="false">
      <c r="B14" s="18" t="s">
        <v>54</v>
      </c>
      <c r="C14" s="22" t="n">
        <v>0.022</v>
      </c>
      <c r="D14" s="8" t="s">
        <v>72</v>
      </c>
      <c r="E14" s="10" t="s">
        <v>73</v>
      </c>
    </row>
    <row r="15" customFormat="false" ht="15" hidden="false" customHeight="false" outlineLevel="0" collapsed="false">
      <c r="B15" s="18" t="s">
        <v>56</v>
      </c>
      <c r="C15" s="23" t="n">
        <v>365</v>
      </c>
      <c r="D15" s="8" t="s">
        <v>74</v>
      </c>
      <c r="E15" s="1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</cols>
  <sheetData>
    <row r="2" customFormat="false" ht="17.35" hidden="false" customHeight="false" outlineLevel="0" collapsed="false">
      <c r="B2" s="1" t="s">
        <v>76</v>
      </c>
    </row>
    <row r="4" customFormat="false" ht="15" hidden="false" customHeight="false" outlineLevel="0" collapsed="false">
      <c r="B4" s="4" t="s">
        <v>77</v>
      </c>
    </row>
    <row r="5" customFormat="false" ht="15" hidden="false" customHeight="false" outlineLevel="0" collapsed="false">
      <c r="B5" s="17" t="s">
        <v>78</v>
      </c>
      <c r="C5" s="24" t="n">
        <f aca="false">FC_AMT*F0_in</f>
        <v>13637500</v>
      </c>
    </row>
    <row r="7" customFormat="false" ht="15" hidden="false" customHeight="false" outlineLevel="0" collapsed="false">
      <c r="B7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8"/>
  </cols>
  <sheetData>
    <row r="2" customFormat="false" ht="17.35" hidden="false" customHeight="false" outlineLevel="0" collapsed="false">
      <c r="B2" s="1" t="s">
        <v>80</v>
      </c>
    </row>
    <row r="4" customFormat="false" ht="15" hidden="false" customHeight="false" outlineLevel="0" collapsed="false">
      <c r="B4" s="5" t="s">
        <v>81</v>
      </c>
    </row>
    <row r="5" customFormat="false" ht="15" hidden="false" customHeight="false" outlineLevel="0" collapsed="false">
      <c r="B5" s="4" t="s">
        <v>82</v>
      </c>
      <c r="C5" s="25" t="n">
        <f aca="false">1+R_USD*T_DAYS/360</f>
        <v>1.04055555555556</v>
      </c>
    </row>
    <row r="6" customFormat="false" ht="15" hidden="false" customHeight="false" outlineLevel="0" collapsed="false">
      <c r="B6" s="4" t="s">
        <v>83</v>
      </c>
      <c r="C6" s="25" t="n">
        <f aca="false">1+R_FC*T_DAYS/360</f>
        <v>1.02027777777778</v>
      </c>
    </row>
    <row r="8" customFormat="false" ht="15" hidden="false" customHeight="false" outlineLevel="0" collapsed="false">
      <c r="B8" s="4" t="s">
        <v>84</v>
      </c>
      <c r="C8" s="26" t="n">
        <f aca="false">FC_AMT/DF_FC</f>
        <v>12251565.4778111</v>
      </c>
    </row>
    <row r="9" customFormat="false" ht="15" hidden="false" customHeight="false" outlineLevel="0" collapsed="false">
      <c r="B9" s="4" t="s">
        <v>85</v>
      </c>
      <c r="C9" s="27" t="n">
        <f aca="false">MM_BORROW*S0_in</f>
        <v>13109175.0612578</v>
      </c>
    </row>
    <row r="10" customFormat="false" ht="15" hidden="false" customHeight="false" outlineLevel="0" collapsed="false">
      <c r="B10" s="4" t="s">
        <v>86</v>
      </c>
      <c r="C10" s="24" t="n">
        <f aca="false">MM_USD_NOW*DF_USD</f>
        <v>13640824.9387422</v>
      </c>
    </row>
    <row r="12" customFormat="false" ht="15" hidden="false" customHeight="false" outlineLevel="0" collapsed="false">
      <c r="B12" s="5" t="s">
        <v>87</v>
      </c>
    </row>
    <row r="13" customFormat="false" ht="15" hidden="false" customHeight="false" outlineLevel="0" collapsed="false">
      <c r="B13" s="4" t="s">
        <v>88</v>
      </c>
      <c r="C13" s="28" t="n">
        <f aca="false">S0_in*DF_USD/DF_FC</f>
        <v>1.09126599509937</v>
      </c>
    </row>
    <row r="14" customFormat="false" ht="15" hidden="false" customHeight="false" outlineLevel="0" collapsed="false">
      <c r="B14" s="4" t="s">
        <v>89</v>
      </c>
      <c r="C14" s="28" t="n">
        <f aca="false">ABS(C13-F0_in)</f>
        <v>0.00026599509937375</v>
      </c>
    </row>
    <row r="15" customFormat="false" ht="15" hidden="false" customHeight="false" outlineLevel="0" collapsed="false">
      <c r="B15" s="4" t="s">
        <v>90</v>
      </c>
      <c r="C15" s="24" t="n">
        <f aca="false">USD_MM-USD_FWD</f>
        <v>3324.93874217197</v>
      </c>
      <c r="D15" s="29" t="n">
        <f aca="false">(USD_MM-USD_FWD)/USD_FWD</f>
        <v>0.000243808523715635</v>
      </c>
    </row>
    <row r="16" customFormat="false" ht="15" hidden="false" customHeight="false" outlineLevel="0" collapsed="false">
      <c r="B16" s="4" t="s">
        <v>91</v>
      </c>
      <c r="C16" s="30" t="str">
        <f aca="false">IF(ABS(USD_MM-USD_FWD)/USD_FWD&lt;=0.0005,"PASS","FAIL")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8"/>
  </cols>
  <sheetData>
    <row r="2" customFormat="false" ht="17.35" hidden="false" customHeight="false" outlineLevel="0" collapsed="false">
      <c r="B2" s="1" t="s">
        <v>92</v>
      </c>
    </row>
    <row r="4" customFormat="false" ht="15" hidden="false" customHeight="false" outlineLevel="0" collapsed="false">
      <c r="B4" s="4" t="s">
        <v>93</v>
      </c>
    </row>
    <row r="5" customFormat="false" ht="15" hidden="false" customHeight="false" outlineLevel="0" collapsed="false">
      <c r="B5" s="17" t="s">
        <v>94</v>
      </c>
      <c r="C5" s="27" t="n">
        <f aca="false">PREM_PUT*FC_AMT*DF_USD</f>
        <v>221118.055555556</v>
      </c>
    </row>
    <row r="7" customFormat="false" ht="15" hidden="false" customHeight="false" outlineLevel="0" collapsed="false">
      <c r="B7" s="17" t="s">
        <v>95</v>
      </c>
    </row>
    <row r="9" customFormat="false" ht="15" hidden="false" customHeight="false" outlineLevel="0" collapsed="false">
      <c r="B9" s="4" t="s">
        <v>96</v>
      </c>
      <c r="C9" s="24" t="n">
        <f aca="false">MAX(S0_in,K_PUT)*FC_AMT-FV_PREM_PUT</f>
        <v>13153881.9444444</v>
      </c>
    </row>
    <row r="10" customFormat="false" ht="15" hidden="false" customHeight="false" outlineLevel="0" collapsed="false">
      <c r="B10" s="4" t="s">
        <v>97</v>
      </c>
      <c r="C10" s="24" t="n">
        <f aca="false">MIN(Sensitivity!$G$12:$G$22)</f>
        <v>13153881.9444444</v>
      </c>
    </row>
    <row r="12" customFormat="false" ht="15" hidden="false" customHeight="false" outlineLevel="0" collapsed="false">
      <c r="B12" s="4" t="s">
        <v>98</v>
      </c>
      <c r="C12" s="27" t="n">
        <f aca="false">K_PUT*FC_AMT-FV_PREM_PUT</f>
        <v>13153881.9444444</v>
      </c>
    </row>
    <row r="13" customFormat="false" ht="15" hidden="false" customHeight="false" outlineLevel="0" collapsed="false">
      <c r="B13" s="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7" min="4" style="0" width="15"/>
    <col collapsed="false" customWidth="true" hidden="false" outlineLevel="0" max="10" min="8" style="0" width="14"/>
    <col collapsed="false" customWidth="true" hidden="false" outlineLevel="0" max="11" min="11" style="0" width="16"/>
  </cols>
  <sheetData>
    <row r="2" customFormat="false" ht="17.35" hidden="false" customHeight="false" outlineLevel="0" collapsed="false">
      <c r="B2" s="1" t="s">
        <v>100</v>
      </c>
    </row>
    <row r="4" customFormat="false" ht="15" hidden="false" customHeight="false" outlineLevel="0" collapsed="false">
      <c r="B4" s="4" t="s">
        <v>101</v>
      </c>
      <c r="C4" s="31" t="n">
        <v>0.01</v>
      </c>
    </row>
    <row r="11" customFormat="false" ht="15" hidden="false" customHeight="false" outlineLevel="0" collapsed="false">
      <c r="B11" s="7" t="s">
        <v>102</v>
      </c>
      <c r="C11" s="7" t="s">
        <v>103</v>
      </c>
      <c r="D11" s="7" t="s">
        <v>18</v>
      </c>
      <c r="E11" s="7" t="s">
        <v>20</v>
      </c>
      <c r="F11" s="7" t="s">
        <v>104</v>
      </c>
      <c r="G11" s="7" t="s">
        <v>105</v>
      </c>
      <c r="H11" s="7" t="s">
        <v>106</v>
      </c>
      <c r="I11" s="7" t="s">
        <v>107</v>
      </c>
      <c r="J11" s="7" t="s">
        <v>108</v>
      </c>
      <c r="K11" s="7" t="s">
        <v>109</v>
      </c>
    </row>
    <row r="12" customFormat="false" ht="15" hidden="false" customHeight="false" outlineLevel="0" collapsed="false">
      <c r="B12" s="32" t="n">
        <v>-5</v>
      </c>
      <c r="C12" s="33" t="n">
        <f aca="false">S0_in*(1+$B12*STEP_FRAC)</f>
        <v>1.0165</v>
      </c>
      <c r="D12" s="34" t="n">
        <f aca="false">$C12*FC_AMT</f>
        <v>12706250</v>
      </c>
      <c r="E12" s="34" t="n">
        <f aca="false">USD_FWD</f>
        <v>13637500</v>
      </c>
      <c r="F12" s="34" t="n">
        <f aca="false">USD_MM</f>
        <v>13640824.9387422</v>
      </c>
      <c r="G12" s="34" t="n">
        <f aca="false">MAX($C12,K_PUT)*FC_AMT-FV_PREM_PUT</f>
        <v>13153881.9444444</v>
      </c>
      <c r="H12" s="35" t="n">
        <f aca="false">$E12-$D12</f>
        <v>931250</v>
      </c>
      <c r="I12" s="35" t="n">
        <f aca="false">$F12-$D12</f>
        <v>934574.938742172</v>
      </c>
      <c r="J12" s="35" t="n">
        <f aca="false">$G12-$D12</f>
        <v>447631.944444444</v>
      </c>
      <c r="K12" s="14" t="str">
        <f aca="false">INDEX($D$11:$G$11,MATCH(MAX($D12:$G12),$D12:$G12,0))</f>
        <v>Money mkt</v>
      </c>
    </row>
    <row r="13" customFormat="false" ht="15" hidden="false" customHeight="false" outlineLevel="0" collapsed="false">
      <c r="B13" s="32" t="n">
        <v>-4</v>
      </c>
      <c r="C13" s="33" t="n">
        <f aca="false">S0_in*(1+$B13*STEP_FRAC)</f>
        <v>1.0272</v>
      </c>
      <c r="D13" s="34" t="n">
        <f aca="false">$C13*FC_AMT</f>
        <v>12840000</v>
      </c>
      <c r="E13" s="34" t="n">
        <f aca="false">USD_FWD</f>
        <v>13637500</v>
      </c>
      <c r="F13" s="34" t="n">
        <f aca="false">USD_MM</f>
        <v>13640824.9387422</v>
      </c>
      <c r="G13" s="34" t="n">
        <f aca="false">MAX($C13,K_PUT)*FC_AMT-FV_PREM_PUT</f>
        <v>13153881.9444444</v>
      </c>
      <c r="H13" s="35" t="n">
        <f aca="false">$E13-$D13</f>
        <v>797499.999999998</v>
      </c>
      <c r="I13" s="35" t="n">
        <f aca="false">$F13-$D13</f>
        <v>800824.93874217</v>
      </c>
      <c r="J13" s="35" t="n">
        <f aca="false">$G13-$D13</f>
        <v>313881.944444442</v>
      </c>
      <c r="K13" s="14" t="str">
        <f aca="false">INDEX($D$11:$G$11,MATCH(MAX($D13:$G13),$D13:$G13,0))</f>
        <v>Money mkt</v>
      </c>
    </row>
    <row r="14" customFormat="false" ht="15" hidden="false" customHeight="false" outlineLevel="0" collapsed="false">
      <c r="B14" s="32" t="n">
        <v>-3</v>
      </c>
      <c r="C14" s="33" t="n">
        <f aca="false">S0_in*(1+$B14*STEP_FRAC)</f>
        <v>1.0379</v>
      </c>
      <c r="D14" s="34" t="n">
        <f aca="false">$C14*FC_AMT</f>
        <v>12973750</v>
      </c>
      <c r="E14" s="34" t="n">
        <f aca="false">USD_FWD</f>
        <v>13637500</v>
      </c>
      <c r="F14" s="34" t="n">
        <f aca="false">USD_MM</f>
        <v>13640824.9387422</v>
      </c>
      <c r="G14" s="34" t="n">
        <f aca="false">MAX($C14,K_PUT)*FC_AMT-FV_PREM_PUT</f>
        <v>13153881.9444444</v>
      </c>
      <c r="H14" s="35" t="n">
        <f aca="false">$E14-$D14</f>
        <v>663750</v>
      </c>
      <c r="I14" s="35" t="n">
        <f aca="false">$F14-$D14</f>
        <v>667074.938742172</v>
      </c>
      <c r="J14" s="35" t="n">
        <f aca="false">$G14-$D14</f>
        <v>180131.944444444</v>
      </c>
      <c r="K14" s="14" t="str">
        <f aca="false">INDEX($D$11:$G$11,MATCH(MAX($D14:$G14),$D14:$G14,0))</f>
        <v>Money mkt</v>
      </c>
    </row>
    <row r="15" customFormat="false" ht="15" hidden="false" customHeight="false" outlineLevel="0" collapsed="false">
      <c r="B15" s="32" t="n">
        <v>-2</v>
      </c>
      <c r="C15" s="33" t="n">
        <f aca="false">S0_in*(1+$B15*STEP_FRAC)</f>
        <v>1.0486</v>
      </c>
      <c r="D15" s="34" t="n">
        <f aca="false">$C15*FC_AMT</f>
        <v>13107500</v>
      </c>
      <c r="E15" s="34" t="n">
        <f aca="false">USD_FWD</f>
        <v>13637500</v>
      </c>
      <c r="F15" s="34" t="n">
        <f aca="false">USD_MM</f>
        <v>13640824.9387422</v>
      </c>
      <c r="G15" s="34" t="n">
        <f aca="false">MAX($C15,K_PUT)*FC_AMT-FV_PREM_PUT</f>
        <v>13153881.9444444</v>
      </c>
      <c r="H15" s="35" t="n">
        <f aca="false">$E15-$D15</f>
        <v>530000</v>
      </c>
      <c r="I15" s="35" t="n">
        <f aca="false">$F15-$D15</f>
        <v>533324.938742172</v>
      </c>
      <c r="J15" s="35" t="n">
        <f aca="false">$G15-$D15</f>
        <v>46381.944444444</v>
      </c>
      <c r="K15" s="14" t="str">
        <f aca="false">INDEX($D$11:$G$11,MATCH(MAX($D15:$G15),$D15:$G15,0))</f>
        <v>Money mkt</v>
      </c>
    </row>
    <row r="16" customFormat="false" ht="15" hidden="false" customHeight="false" outlineLevel="0" collapsed="false">
      <c r="B16" s="32" t="n">
        <v>-1</v>
      </c>
      <c r="C16" s="33" t="n">
        <f aca="false">S0_in*(1+$B16*STEP_FRAC)</f>
        <v>1.0593</v>
      </c>
      <c r="D16" s="34" t="n">
        <f aca="false">$C16*FC_AMT</f>
        <v>13241250</v>
      </c>
      <c r="E16" s="34" t="n">
        <f aca="false">USD_FWD</f>
        <v>13637500</v>
      </c>
      <c r="F16" s="34" t="n">
        <f aca="false">USD_MM</f>
        <v>13640824.9387422</v>
      </c>
      <c r="G16" s="34" t="n">
        <f aca="false">MAX($C16,K_PUT)*FC_AMT-FV_PREM_PUT</f>
        <v>13153881.9444444</v>
      </c>
      <c r="H16" s="35" t="n">
        <f aca="false">$E16-$D16</f>
        <v>396249.999999998</v>
      </c>
      <c r="I16" s="35" t="n">
        <f aca="false">$F16-$D16</f>
        <v>399574.93874217</v>
      </c>
      <c r="J16" s="35" t="n">
        <f aca="false">$G16-$D16</f>
        <v>-87368.0555555578</v>
      </c>
      <c r="K16" s="14" t="str">
        <f aca="false">INDEX($D$11:$G$11,MATCH(MAX($D16:$G16),$D16:$G16,0))</f>
        <v>Money mkt</v>
      </c>
    </row>
    <row r="17" customFormat="false" ht="15" hidden="false" customHeight="false" outlineLevel="0" collapsed="false">
      <c r="B17" s="32" t="n">
        <v>0</v>
      </c>
      <c r="C17" s="33" t="n">
        <f aca="false">S0_in*(1+$B17*STEP_FRAC)</f>
        <v>1.07</v>
      </c>
      <c r="D17" s="34" t="n">
        <f aca="false">$C17*FC_AMT</f>
        <v>13375000</v>
      </c>
      <c r="E17" s="34" t="n">
        <f aca="false">USD_FWD</f>
        <v>13637500</v>
      </c>
      <c r="F17" s="34" t="n">
        <f aca="false">USD_MM</f>
        <v>13640824.9387422</v>
      </c>
      <c r="G17" s="34" t="n">
        <f aca="false">MAX($C17,K_PUT)*FC_AMT-FV_PREM_PUT</f>
        <v>13153881.9444444</v>
      </c>
      <c r="H17" s="35" t="n">
        <f aca="false">$E17-$D17</f>
        <v>262500</v>
      </c>
      <c r="I17" s="35" t="n">
        <f aca="false">$F17-$D17</f>
        <v>265824.938742172</v>
      </c>
      <c r="J17" s="35" t="n">
        <f aca="false">$G17-$D17</f>
        <v>-221118.055555556</v>
      </c>
      <c r="K17" s="14" t="str">
        <f aca="false">INDEX($D$11:$G$11,MATCH(MAX($D17:$G17),$D17:$G17,0))</f>
        <v>Money mkt</v>
      </c>
      <c r="L17" s="36" t="s">
        <v>110</v>
      </c>
    </row>
    <row r="18" customFormat="false" ht="15" hidden="false" customHeight="false" outlineLevel="0" collapsed="false">
      <c r="B18" s="32" t="n">
        <v>1</v>
      </c>
      <c r="C18" s="33" t="n">
        <f aca="false">S0_in*(1+$B18*STEP_FRAC)</f>
        <v>1.0807</v>
      </c>
      <c r="D18" s="34" t="n">
        <f aca="false">$C18*FC_AMT</f>
        <v>13508750</v>
      </c>
      <c r="E18" s="34" t="n">
        <f aca="false">USD_FWD</f>
        <v>13637500</v>
      </c>
      <c r="F18" s="34" t="n">
        <f aca="false">USD_MM</f>
        <v>13640824.9387422</v>
      </c>
      <c r="G18" s="34" t="n">
        <f aca="false">MAX($C18,K_PUT)*FC_AMT-FV_PREM_PUT</f>
        <v>13287631.9444444</v>
      </c>
      <c r="H18" s="35" t="n">
        <f aca="false">$E18-$D18</f>
        <v>128750</v>
      </c>
      <c r="I18" s="35" t="n">
        <f aca="false">$F18-$D18</f>
        <v>132074.938742172</v>
      </c>
      <c r="J18" s="35" t="n">
        <f aca="false">$G18-$D18</f>
        <v>-221118.055555556</v>
      </c>
      <c r="K18" s="14" t="str">
        <f aca="false">INDEX($D$11:$G$11,MATCH(MAX($D18:$G18),$D18:$G18,0))</f>
        <v>Money mkt</v>
      </c>
    </row>
    <row r="19" customFormat="false" ht="15" hidden="false" customHeight="false" outlineLevel="0" collapsed="false">
      <c r="B19" s="32" t="n">
        <v>2</v>
      </c>
      <c r="C19" s="33" t="n">
        <f aca="false">S0_in*(1+$B19*STEP_FRAC)</f>
        <v>1.0914</v>
      </c>
      <c r="D19" s="34" t="n">
        <f aca="false">$C19*FC_AMT</f>
        <v>13642500</v>
      </c>
      <c r="E19" s="34" t="n">
        <f aca="false">USD_FWD</f>
        <v>13637500</v>
      </c>
      <c r="F19" s="34" t="n">
        <f aca="false">USD_MM</f>
        <v>13640824.9387422</v>
      </c>
      <c r="G19" s="34" t="n">
        <f aca="false">MAX($C19,K_PUT)*FC_AMT-FV_PREM_PUT</f>
        <v>13421381.9444444</v>
      </c>
      <c r="H19" s="35" t="n">
        <f aca="false">$E19-$D19</f>
        <v>-5000.00000000186</v>
      </c>
      <c r="I19" s="35" t="n">
        <f aca="false">$F19-$D19</f>
        <v>-1675.06125782989</v>
      </c>
      <c r="J19" s="35" t="n">
        <f aca="false">$G19-$D19</f>
        <v>-221118.055555556</v>
      </c>
      <c r="K19" s="14" t="str">
        <f aca="false">INDEX($D$11:$G$11,MATCH(MAX($D19:$G19),$D19:$G19,0))</f>
        <v>No hedge</v>
      </c>
    </row>
    <row r="20" customFormat="false" ht="15" hidden="false" customHeight="false" outlineLevel="0" collapsed="false">
      <c r="B20" s="32" t="n">
        <v>3</v>
      </c>
      <c r="C20" s="33" t="n">
        <f aca="false">S0_in*(1+$B20*STEP_FRAC)</f>
        <v>1.1021</v>
      </c>
      <c r="D20" s="34" t="n">
        <f aca="false">$C20*FC_AMT</f>
        <v>13776250</v>
      </c>
      <c r="E20" s="34" t="n">
        <f aca="false">USD_FWD</f>
        <v>13637500</v>
      </c>
      <c r="F20" s="34" t="n">
        <f aca="false">USD_MM</f>
        <v>13640824.9387422</v>
      </c>
      <c r="G20" s="34" t="n">
        <f aca="false">MAX($C20,K_PUT)*FC_AMT-FV_PREM_PUT</f>
        <v>13555131.9444444</v>
      </c>
      <c r="H20" s="35" t="n">
        <f aca="false">$E20-$D20</f>
        <v>-138750.000000002</v>
      </c>
      <c r="I20" s="35" t="n">
        <f aca="false">$F20-$D20</f>
        <v>-135425.06125783</v>
      </c>
      <c r="J20" s="35" t="n">
        <f aca="false">$G20-$D20</f>
        <v>-221118.055555556</v>
      </c>
      <c r="K20" s="14" t="str">
        <f aca="false">INDEX($D$11:$G$11,MATCH(MAX($D20:$G20),$D20:$G20,0))</f>
        <v>No hedge</v>
      </c>
    </row>
    <row r="21" customFormat="false" ht="15" hidden="false" customHeight="false" outlineLevel="0" collapsed="false">
      <c r="B21" s="32" t="n">
        <v>4</v>
      </c>
      <c r="C21" s="33" t="n">
        <f aca="false">S0_in*(1+$B21*STEP_FRAC)</f>
        <v>1.1128</v>
      </c>
      <c r="D21" s="34" t="n">
        <f aca="false">$C21*FC_AMT</f>
        <v>13910000</v>
      </c>
      <c r="E21" s="34" t="n">
        <f aca="false">USD_FWD</f>
        <v>13637500</v>
      </c>
      <c r="F21" s="34" t="n">
        <f aca="false">USD_MM</f>
        <v>13640824.9387422</v>
      </c>
      <c r="G21" s="34" t="n">
        <f aca="false">MAX($C21,K_PUT)*FC_AMT-FV_PREM_PUT</f>
        <v>13688881.9444444</v>
      </c>
      <c r="H21" s="35" t="n">
        <f aca="false">$E21-$D21</f>
        <v>-272500</v>
      </c>
      <c r="I21" s="35" t="n">
        <f aca="false">$F21-$D21</f>
        <v>-269175.061257828</v>
      </c>
      <c r="J21" s="35" t="n">
        <f aca="false">$G21-$D21</f>
        <v>-221118.055555556</v>
      </c>
      <c r="K21" s="14" t="str">
        <f aca="false">INDEX($D$11:$G$11,MATCH(MAX($D21:$G21),$D21:$G21,0))</f>
        <v>No hedge</v>
      </c>
    </row>
    <row r="22" customFormat="false" ht="15" hidden="false" customHeight="false" outlineLevel="0" collapsed="false">
      <c r="B22" s="32" t="n">
        <v>5</v>
      </c>
      <c r="C22" s="33" t="n">
        <f aca="false">S0_in*(1+$B22*STEP_FRAC)</f>
        <v>1.1235</v>
      </c>
      <c r="D22" s="34" t="n">
        <f aca="false">$C22*FC_AMT</f>
        <v>14043750</v>
      </c>
      <c r="E22" s="34" t="n">
        <f aca="false">USD_FWD</f>
        <v>13637500</v>
      </c>
      <c r="F22" s="34" t="n">
        <f aca="false">USD_MM</f>
        <v>13640824.9387422</v>
      </c>
      <c r="G22" s="34" t="n">
        <f aca="false">MAX($C22,K_PUT)*FC_AMT-FV_PREM_PUT</f>
        <v>13822631.9444444</v>
      </c>
      <c r="H22" s="35" t="n">
        <f aca="false">$E22-$D22</f>
        <v>-406250.000000002</v>
      </c>
      <c r="I22" s="35" t="n">
        <f aca="false">$F22-$D22</f>
        <v>-402925.06125783</v>
      </c>
      <c r="J22" s="35" t="n">
        <f aca="false">$G22-$D22</f>
        <v>-221118.055555556</v>
      </c>
      <c r="K22" s="14" t="str">
        <f aca="false">INDEX($D$11:$G$11,MATCH(MAX($D22:$G22),$D22:$G22,0))</f>
        <v>No hedge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18"/>
    <col collapsed="false" customWidth="true" hidden="false" outlineLevel="0" max="5" min="5" style="0" width="10"/>
  </cols>
  <sheetData>
    <row r="2" customFormat="false" ht="17.35" hidden="false" customHeight="false" outlineLevel="0" collapsed="false">
      <c r="B2" s="1" t="s">
        <v>111</v>
      </c>
    </row>
    <row r="4" customFormat="false" ht="15" hidden="false" customHeight="false" outlineLevel="0" collapsed="false">
      <c r="B4" s="4" t="s">
        <v>112</v>
      </c>
    </row>
    <row r="5" customFormat="false" ht="15" hidden="false" customHeight="false" outlineLevel="0" collapsed="false">
      <c r="B5" s="4" t="s">
        <v>113</v>
      </c>
    </row>
    <row r="6" customFormat="false" ht="15" hidden="false" customHeight="false" outlineLevel="0" collapsed="false">
      <c r="B6" s="4" t="s">
        <v>114</v>
      </c>
    </row>
    <row r="7" customFormat="false" ht="15" hidden="false" customHeight="false" outlineLevel="0" collapsed="false">
      <c r="B7" s="4" t="s">
        <v>115</v>
      </c>
    </row>
    <row r="8" customFormat="false" ht="15" hidden="false" customHeight="false" outlineLevel="0" collapsed="false">
      <c r="B8" s="4" t="s">
        <v>116</v>
      </c>
    </row>
    <row r="9" customFormat="false" ht="15" hidden="false" customHeight="false" outlineLevel="0" collapsed="false">
      <c r="B9" s="4" t="s">
        <v>117</v>
      </c>
    </row>
    <row r="11" customFormat="false" ht="15" hidden="false" customHeight="false" outlineLevel="0" collapsed="false">
      <c r="B11" s="5" t="s">
        <v>118</v>
      </c>
    </row>
    <row r="12" customFormat="false" ht="15" hidden="false" customHeight="false" outlineLevel="0" collapsed="false">
      <c r="B12" s="7" t="s">
        <v>119</v>
      </c>
      <c r="C12" s="7" t="s">
        <v>120</v>
      </c>
      <c r="D12" s="7" t="s">
        <v>121</v>
      </c>
      <c r="E12" s="7" t="s">
        <v>122</v>
      </c>
    </row>
    <row r="13" customFormat="false" ht="15" hidden="false" customHeight="false" outlineLevel="0" collapsed="false">
      <c r="B13" s="8" t="s">
        <v>123</v>
      </c>
      <c r="C13" s="37" t="n">
        <f aca="false">S0_in*DF_USD/DF_FC</f>
        <v>1.09126599509937</v>
      </c>
      <c r="D13" s="37" t="n">
        <f aca="false">F0_in</f>
        <v>1.091</v>
      </c>
      <c r="E13" s="14" t="str">
        <f aca="false">IF(ABS(C13-D13)&lt;=0.0025,"PASS","FAIL")</f>
        <v>PASS</v>
      </c>
    </row>
    <row r="14" customFormat="false" ht="15" hidden="false" customHeight="false" outlineLevel="0" collapsed="false">
      <c r="B14" s="8" t="s">
        <v>124</v>
      </c>
      <c r="C14" s="38" t="n">
        <f aca="false">USD_MM</f>
        <v>13640824.9387422</v>
      </c>
      <c r="D14" s="38" t="n">
        <f aca="false">USD_FWD</f>
        <v>13637500</v>
      </c>
      <c r="E14" s="14" t="str">
        <f aca="false">IF(ABS(C14-D14)/D14&lt;=0.0005,"PASS","FAIL")</f>
        <v>PASS</v>
      </c>
    </row>
    <row r="15" customFormat="false" ht="15" hidden="false" customHeight="false" outlineLevel="0" collapsed="false">
      <c r="B15" s="8" t="s">
        <v>125</v>
      </c>
      <c r="C15" s="38" t="n">
        <f aca="false">USD_FWD</f>
        <v>13637500</v>
      </c>
      <c r="D15" s="39" t="n">
        <v>13637500</v>
      </c>
      <c r="E15" s="14" t="str">
        <f aca="false">IF(ABS(C15-D15)&lt;=1,"PASS","FAIL")</f>
        <v>PASS</v>
      </c>
    </row>
    <row r="16" customFormat="false" ht="15" hidden="false" customHeight="false" outlineLevel="0" collapsed="false">
      <c r="B16" s="8" t="s">
        <v>126</v>
      </c>
      <c r="C16" s="38" t="n">
        <f aca="false">FV_PREM_PUT</f>
        <v>221118.055555556</v>
      </c>
      <c r="D16" s="39" t="n">
        <v>221118.06</v>
      </c>
      <c r="E16" s="14" t="str">
        <f aca="false">IF(ABS(C16-D16)&lt;=1,"PASS","FAIL")</f>
        <v>PASS</v>
      </c>
    </row>
    <row r="17" customFormat="false" ht="15" hidden="false" customHeight="false" outlineLevel="0" collapsed="false">
      <c r="B17" s="8" t="s">
        <v>127</v>
      </c>
      <c r="C17" s="38" t="n">
        <f aca="false">MAX(K_PUT,K_PUT)*FC_AMT-FV_PREM_PUT</f>
        <v>13153881.9444444</v>
      </c>
      <c r="D17" s="38" t="n">
        <f aca="false">K_PUT*FC_AMT-FV_PREM_PUT</f>
        <v>13153881.9444444</v>
      </c>
      <c r="E17" s="14" t="str">
        <f aca="false">IF(ABS(C17-D17)&lt;=0.01,"PASS","FAIL")</f>
        <v>PASS</v>
      </c>
    </row>
    <row r="18" customFormat="false" ht="15" hidden="false" customHeight="false" outlineLevel="0" collapsed="false">
      <c r="B18" s="8" t="s">
        <v>128</v>
      </c>
      <c r="C18" s="38" t="n">
        <f aca="false">S0_in*FC_AMT</f>
        <v>13375000</v>
      </c>
      <c r="D18" s="39" t="n">
        <v>13375000</v>
      </c>
      <c r="E18" s="14" t="str">
        <f aca="false">IF(ABS(C18-D18)&lt;=1,"PASS","FAIL")</f>
        <v>PASS</v>
      </c>
    </row>
    <row r="19" customFormat="false" ht="15" hidden="false" customHeight="false" outlineLevel="0" collapsed="false">
      <c r="B19" s="8" t="s">
        <v>129</v>
      </c>
      <c r="C19" s="33" t="n">
        <f aca="false">Sensitivity!$C$12+Sensitivity!$C$22</f>
        <v>2.14</v>
      </c>
      <c r="D19" s="33" t="n">
        <f aca="false">2*S0_in</f>
        <v>2.14</v>
      </c>
      <c r="E19" s="14" t="str">
        <f aca="false">IF(ABS(C19-D19)&lt;=0.000001,"PASS","FAIL")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2026-08-08T01:47:49Z</dcterms:created>
  <dc:creator>openpyxl</dc:creator>
  <dc:description/>
  <dc:language>en-US</dc:language>
  <cp:lastModifiedBy/>
  <dcterms:modified xsi:type="dcterms:W3CDTF">2026-08-07T15:47:57Z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